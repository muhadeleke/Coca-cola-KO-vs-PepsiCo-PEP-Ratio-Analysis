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595c02b4af627d56/Documents/Portfolio/Ratio Analysis/"/>
    </mc:Choice>
  </mc:AlternateContent>
  <xr:revisionPtr revIDLastSave="27" documentId="11_56879BB58DB27D43269EA354B4DA0005F860794A" xr6:coauthVersionLast="47" xr6:coauthVersionMax="47" xr10:uidLastSave="{1D5299C3-D29F-4B34-A1C0-283585069D81}"/>
  <bookViews>
    <workbookView xWindow="-120" yWindow="-120" windowWidth="20730" windowHeight="11040" activeTab="3" xr2:uid="{00000000-000D-0000-FFFF-FFFF00000000}"/>
  </bookViews>
  <sheets>
    <sheet name="Dashboard" sheetId="5" r:id="rId1"/>
    <sheet name="Ratio Analysis" sheetId="4" r:id="rId2"/>
    <sheet name="Chart Source" sheetId="6" r:id="rId3"/>
    <sheet name="Recommendation" sheetId="7" r:id="rId4"/>
    <sheet name="KO Data" sheetId="1" r:id="rId5"/>
    <sheet name="PEP Data" sheetId="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6" l="1"/>
  <c r="D11" i="6"/>
  <c r="B11" i="6"/>
  <c r="C10" i="6"/>
  <c r="D10" i="6"/>
  <c r="B10" i="6"/>
  <c r="C9" i="6"/>
  <c r="D9" i="6"/>
  <c r="B9" i="6"/>
  <c r="C8" i="6"/>
  <c r="D8" i="6"/>
  <c r="B8" i="6"/>
  <c r="C7" i="6"/>
  <c r="D7" i="6"/>
  <c r="B7" i="6"/>
  <c r="C6" i="6"/>
  <c r="D6" i="6"/>
  <c r="B6" i="6"/>
  <c r="C5" i="6"/>
  <c r="D5" i="6"/>
  <c r="B5" i="6"/>
  <c r="C4" i="6"/>
  <c r="D4" i="6"/>
  <c r="B4" i="6"/>
  <c r="C24" i="4"/>
  <c r="D24" i="4"/>
  <c r="C23" i="4"/>
  <c r="D23" i="4"/>
  <c r="C22" i="4"/>
  <c r="D22" i="4"/>
  <c r="C21" i="4"/>
  <c r="D21" i="4"/>
  <c r="C20" i="4"/>
  <c r="D20" i="4"/>
  <c r="C19" i="4"/>
  <c r="D19" i="4"/>
  <c r="C18" i="4"/>
  <c r="D18" i="4"/>
  <c r="C17" i="4"/>
  <c r="D17" i="4"/>
  <c r="B24" i="4"/>
  <c r="B23" i="4"/>
  <c r="B22" i="4"/>
  <c r="B21" i="4"/>
  <c r="B20" i="4"/>
  <c r="B19" i="4"/>
  <c r="B18" i="4"/>
  <c r="B17" i="4"/>
  <c r="C16" i="4"/>
  <c r="D16" i="4"/>
  <c r="B16" i="4"/>
  <c r="C12" i="4"/>
  <c r="D12" i="4"/>
  <c r="B12" i="4"/>
  <c r="C11" i="4"/>
  <c r="D11" i="4"/>
  <c r="B11" i="4"/>
  <c r="C10" i="4"/>
  <c r="D10" i="4"/>
  <c r="B10" i="4"/>
  <c r="C9" i="4"/>
  <c r="D9" i="4"/>
  <c r="B9" i="4"/>
  <c r="C8" i="4"/>
  <c r="D8" i="4"/>
  <c r="B8" i="4"/>
  <c r="C7" i="4"/>
  <c r="D7" i="4"/>
  <c r="B7" i="4"/>
  <c r="C6" i="4"/>
  <c r="D6" i="4"/>
  <c r="B6" i="4"/>
  <c r="C5" i="4"/>
  <c r="D5" i="4"/>
  <c r="B5" i="4"/>
  <c r="C4" i="4"/>
  <c r="D4" i="4"/>
  <c r="B4" i="4"/>
</calcChain>
</file>

<file path=xl/sharedStrings.xml><?xml version="1.0" encoding="utf-8"?>
<sst xmlns="http://schemas.openxmlformats.org/spreadsheetml/2006/main" count="76" uniqueCount="44">
  <si>
    <t>The Coca-Cola Company (KO) — Financial Statement Data ($ millions)</t>
  </si>
  <si>
    <t>Source: SEC 10-K filings, FY2022–FY2024</t>
  </si>
  <si>
    <t>Line Item</t>
  </si>
  <si>
    <t>FY2022</t>
  </si>
  <si>
    <t>FY2023</t>
  </si>
  <si>
    <t>FY2024</t>
  </si>
  <si>
    <t>Revenue</t>
  </si>
  <si>
    <t>Net Income</t>
  </si>
  <si>
    <t>Total Assets</t>
  </si>
  <si>
    <t>Current Assets</t>
  </si>
  <si>
    <t>Total Liabilities</t>
  </si>
  <si>
    <t>Current Liabilities</t>
  </si>
  <si>
    <t>Total Equity</t>
  </si>
  <si>
    <t>PepsiCo, Inc. (PEP) — Financial Statement Data ($ millions)</t>
  </si>
  <si>
    <t>Metric</t>
  </si>
  <si>
    <t>Current Ratio</t>
  </si>
  <si>
    <t>Working Capital</t>
  </si>
  <si>
    <t>Debt-to-Equity</t>
  </si>
  <si>
    <t>Debt Ratio</t>
  </si>
  <si>
    <t>Net Profit Margin</t>
  </si>
  <si>
    <t>Asset Turnover</t>
  </si>
  <si>
    <t>Equity Multiplier</t>
  </si>
  <si>
    <t>ROA</t>
  </si>
  <si>
    <t>ROE</t>
  </si>
  <si>
    <t>PepsiCo (PEP)</t>
  </si>
  <si>
    <t>Coca-Cola (KO)</t>
  </si>
  <si>
    <t>Mini Chart Source</t>
  </si>
  <si>
    <t>KO Revenue</t>
  </si>
  <si>
    <t>PEP Revenue</t>
  </si>
  <si>
    <t>KO Net Profit Margin</t>
  </si>
  <si>
    <t>PEP Net Profit Margin</t>
  </si>
  <si>
    <t>KO Current Ratio</t>
  </si>
  <si>
    <t>PEP Current Ratio</t>
  </si>
  <si>
    <t>KO ROE</t>
  </si>
  <si>
    <t>PEP ROE</t>
  </si>
  <si>
    <t>Profitability</t>
  </si>
  <si>
    <t>KO converts sales to profit better than PEP across the three-year period, posting Net Profit Margins of 22.2%, 23.4%, and 22.6% compared to PEP's 10.3%, 9.9%, and 10.4%. PEP, however, relies more heavily on debt to finance its assets than KO does.</t>
  </si>
  <si>
    <t>Leverage &amp; Return on Equity</t>
  </si>
  <si>
    <t>Liquidity</t>
  </si>
  <si>
    <t>Bottom Line</t>
  </si>
  <si>
    <t>Using the DuPont decomposition, PEP's Return on Equity is higher than KO's, but this isn't purely a performance story: PEP has a better Asset Turnover than KO, and is also more leveraged. Both factors, not necessarily superior profitability, are driving PEP's higher ROE.</t>
  </si>
  <si>
    <t>KO's Current Ratio sits above 1.0, giving it a cushion of short-term assets over short-term liabilities. PEP's Current Ratio sits below 1.0, and its negative Working Capital confirms it, meaning PEP is relying on incoming cash flow rather than existing short-term assets to meet its obligations.</t>
  </si>
  <si>
    <t>Recommendation: Coca-Cola (KO) vs. PepsiCo (PEP)</t>
  </si>
  <si>
    <t>PEP will generate a higher ROE, but that comes with meaningfully higher financial risk, more leverage and thinner liquidity. Which company is the "better" pick depends on investor risk tolerance: a risk-averse investor prioritizing margin quality and balance sheet safety should lean toward KO, while an investor comfortable trading leverage for a higher equity return could reasonably choose PEP.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</si>
</sst>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44" formatCode="_(&quot;$&quot;* #,##0.00_);_(&quot;$&quot;* \(#,##0.00\);_(&quot;$&quot;* &quot;-&quot;??_);_(@_)"/>
    <numFmt numFmtId="164" formatCode="\$#,##0"/>
    <numFmt numFmtId="165" formatCode="0.0%"/>
    <numFmt numFmtId="166" formatCode="&quot;$&quot;#,##0"/>
  </numFmts>
  <fonts count="8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i/>
      <sz val="10"/>
      <color rgb="FF595959"/>
      <name val="Arial"/>
    </font>
    <font>
      <b/>
      <sz val="10"/>
      <color rgb="FFFFFFFF"/>
      <name val="Arial"/>
    </font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1F386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/>
    <xf numFmtId="164" fontId="4" fillId="0" borderId="0" xfId="0" applyNumberFormat="1" applyFont="1"/>
    <xf numFmtId="0" fontId="6" fillId="0" borderId="0" xfId="0" applyFont="1"/>
    <xf numFmtId="0" fontId="7" fillId="0" borderId="0" xfId="0" applyFont="1"/>
    <xf numFmtId="2" fontId="0" fillId="0" borderId="0" xfId="0" applyNumberFormat="1"/>
    <xf numFmtId="165" fontId="0" fillId="0" borderId="0" xfId="2" applyNumberFormat="1" applyFont="1"/>
    <xf numFmtId="5" fontId="0" fillId="0" borderId="0" xfId="1" applyNumberFormat="1" applyFont="1"/>
    <xf numFmtId="166" fontId="0" fillId="0" borderId="0" xfId="1" applyNumberFormat="1" applyFont="1"/>
    <xf numFmtId="0" fontId="0" fillId="0" borderId="1" xfId="0" applyBorder="1"/>
    <xf numFmtId="164" fontId="4" fillId="0" borderId="2" xfId="0" applyNumberFormat="1" applyFont="1" applyBorder="1"/>
    <xf numFmtId="165" fontId="0" fillId="0" borderId="2" xfId="2" applyNumberFormat="1" applyFont="1" applyBorder="1"/>
    <xf numFmtId="2" fontId="0" fillId="0" borderId="2" xfId="0" applyNumberFormat="1" applyBorder="1"/>
    <xf numFmtId="0" fontId="6" fillId="0" borderId="3" xfId="0" applyFont="1" applyBorder="1"/>
    <xf numFmtId="0" fontId="6" fillId="0" borderId="4" xfId="0" applyFont="1" applyBorder="1"/>
    <xf numFmtId="0" fontId="0" fillId="0" borderId="0" xfId="0" applyAlignment="1">
      <alignment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Net Profit Margin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83082796468621"/>
          <c:y val="0.27806938159879335"/>
          <c:w val="0.85383583870198043"/>
          <c:h val="0.52842602819443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Source'!$A$6</c:f>
              <c:strCache>
                <c:ptCount val="1"/>
                <c:pt idx="0">
                  <c:v>KO Net Profit Margin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'Chart Source'!$B$3:$D$3</c:f>
              <c:strCache>
                <c:ptCount val="3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</c:strCache>
            </c:strRef>
          </c:cat>
          <c:val>
            <c:numRef>
              <c:f>'Chart Source'!$B$6:$D$6</c:f>
              <c:numCache>
                <c:formatCode>0.0%</c:formatCode>
                <c:ptCount val="3"/>
                <c:pt idx="0">
                  <c:v>0.22188633615477629</c:v>
                </c:pt>
                <c:pt idx="1">
                  <c:v>0.23416531887922368</c:v>
                </c:pt>
                <c:pt idx="2">
                  <c:v>0.22589830220352308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1D-40DF-A2DA-1E6705223D79}"/>
            </c:ext>
          </c:extLst>
        </c:ser>
        <c:ser>
          <c:idx val="1"/>
          <c:order val="1"/>
          <c:tx>
            <c:strRef>
              <c:f>'Chart Source'!$A$7</c:f>
              <c:strCache>
                <c:ptCount val="1"/>
                <c:pt idx="0">
                  <c:v>PEP Net Profit Margin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Source'!$B$3:$D$3</c:f>
              <c:strCache>
                <c:ptCount val="3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</c:strCache>
            </c:strRef>
          </c:cat>
          <c:val>
            <c:numRef>
              <c:f>'Chart Source'!$B$7:$D$7</c:f>
              <c:numCache>
                <c:formatCode>0.0%</c:formatCode>
                <c:ptCount val="3"/>
                <c:pt idx="0">
                  <c:v>0.10313454949532364</c:v>
                </c:pt>
                <c:pt idx="1">
                  <c:v>9.920083961036831E-2</c:v>
                </c:pt>
                <c:pt idx="2">
                  <c:v>0.10427417423302197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1D-40DF-A2DA-1E6705223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6398319"/>
        <c:axId val="2106394959"/>
      </c:barChart>
      <c:catAx>
        <c:axId val="2106398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394959"/>
        <c:crosses val="autoZero"/>
        <c:auto val="1"/>
        <c:lblAlgn val="ctr"/>
        <c:lblOffset val="100"/>
        <c:noMultiLvlLbl val="0"/>
      </c:catAx>
      <c:valAx>
        <c:axId val="2106394959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tx1">
                  <a:lumMod val="15000"/>
                  <a:lumOff val="85000"/>
                  <a:alpha val="7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398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7790350162672496"/>
          <c:y val="0.18627379722331089"/>
          <c:w val="0.51358741681790687"/>
          <c:h val="0.101810667331741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166021205391284"/>
          <c:y val="0.31913047997713156"/>
          <c:w val="0.81347576308206226"/>
          <c:h val="0.49261661599230788"/>
        </c:manualLayout>
      </c:layout>
      <c:lineChart>
        <c:grouping val="standard"/>
        <c:varyColors val="0"/>
        <c:ser>
          <c:idx val="0"/>
          <c:order val="0"/>
          <c:tx>
            <c:strRef>
              <c:f>'Chart Source'!$A$4</c:f>
              <c:strCache>
                <c:ptCount val="1"/>
                <c:pt idx="0">
                  <c:v>KO Revenue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'Chart Source'!$B$3:$D$3</c:f>
              <c:strCache>
                <c:ptCount val="3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</c:strCache>
            </c:strRef>
          </c:cat>
          <c:val>
            <c:numRef>
              <c:f>'Chart Source'!$B$4:$D$4</c:f>
              <c:numCache>
                <c:formatCode>\$#,##0</c:formatCode>
                <c:ptCount val="3"/>
                <c:pt idx="0">
                  <c:v>43004</c:v>
                </c:pt>
                <c:pt idx="1">
                  <c:v>45754</c:v>
                </c:pt>
                <c:pt idx="2">
                  <c:v>47061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AD4-4975-924F-F0FCC7036D6A}"/>
            </c:ext>
          </c:extLst>
        </c:ser>
        <c:ser>
          <c:idx val="1"/>
          <c:order val="1"/>
          <c:tx>
            <c:strRef>
              <c:f>'Chart Source'!$A$5</c:f>
              <c:strCache>
                <c:ptCount val="1"/>
                <c:pt idx="0">
                  <c:v>PEP 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'Chart Source'!$B$3:$D$3</c:f>
              <c:strCache>
                <c:ptCount val="3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</c:strCache>
            </c:strRef>
          </c:cat>
          <c:val>
            <c:numRef>
              <c:f>'Chart Source'!$B$5:$D$5</c:f>
              <c:numCache>
                <c:formatCode>\$#,##0</c:formatCode>
                <c:ptCount val="3"/>
                <c:pt idx="0">
                  <c:v>86392</c:v>
                </c:pt>
                <c:pt idx="1">
                  <c:v>91471</c:v>
                </c:pt>
                <c:pt idx="2">
                  <c:v>91854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AD4-4975-924F-F0FCC7036D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5393823"/>
        <c:axId val="2065379903"/>
      </c:lineChart>
      <c:catAx>
        <c:axId val="206539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379903"/>
        <c:crosses val="autoZero"/>
        <c:auto val="1"/>
        <c:lblAlgn val="ctr"/>
        <c:lblOffset val="100"/>
        <c:noMultiLvlLbl val="0"/>
      </c:catAx>
      <c:valAx>
        <c:axId val="2065379903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95000"/>
                  <a:alpha val="70000"/>
                </a:schemeClr>
              </a:solidFill>
              <a:round/>
            </a:ln>
            <a:effectLst/>
          </c:spPr>
        </c:majorGridlines>
        <c:numFmt formatCode="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393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1117861179761293"/>
          <c:y val="0.19952963800317039"/>
          <c:w val="0.48115600513439472"/>
          <c:h val="0.10563454216110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Current Ratio (Liquidity)</a:t>
            </a:r>
            <a:r>
              <a:rPr lang="en-US" baseline="0"/>
              <a:t> Comparison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260228500849153E-2"/>
          <c:y val="0.30589331783918372"/>
          <c:w val="0.88177898718542536"/>
          <c:h val="0.529121359830021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Source'!$A$8</c:f>
              <c:strCache>
                <c:ptCount val="1"/>
                <c:pt idx="0">
                  <c:v>KO Current Ratio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'Chart Source'!$B$3:$D$3</c:f>
              <c:strCache>
                <c:ptCount val="3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</c:strCache>
            </c:strRef>
          </c:cat>
          <c:val>
            <c:numRef>
              <c:f>'Chart Source'!$B$8:$D$8</c:f>
              <c:numCache>
                <c:formatCode>0.00</c:formatCode>
                <c:ptCount val="3"/>
                <c:pt idx="0">
                  <c:v>1.1453559115798013</c:v>
                </c:pt>
                <c:pt idx="1">
                  <c:v>1.1341054685842773</c:v>
                </c:pt>
                <c:pt idx="2">
                  <c:v>1.0296249356410154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65-4E8E-BFA2-67E6A05596F8}"/>
            </c:ext>
          </c:extLst>
        </c:ser>
        <c:ser>
          <c:idx val="1"/>
          <c:order val="1"/>
          <c:tx>
            <c:strRef>
              <c:f>'Chart Source'!$A$9</c:f>
              <c:strCache>
                <c:ptCount val="1"/>
                <c:pt idx="0">
                  <c:v>PEP Current Ratio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Source'!$B$3:$D$3</c:f>
              <c:strCache>
                <c:ptCount val="3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</c:strCache>
            </c:strRef>
          </c:cat>
          <c:val>
            <c:numRef>
              <c:f>'Chart Source'!$B$9:$D$9</c:f>
              <c:numCache>
                <c:formatCode>0.00</c:formatCode>
                <c:ptCount val="3"/>
                <c:pt idx="0">
                  <c:v>0.80414411050961354</c:v>
                </c:pt>
                <c:pt idx="1">
                  <c:v>0.85158150851581504</c:v>
                </c:pt>
                <c:pt idx="2">
                  <c:v>0.81893708777270424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65-4E8E-BFA2-67E6A05596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5437023"/>
        <c:axId val="2065435583"/>
      </c:barChart>
      <c:catAx>
        <c:axId val="2065437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435583"/>
        <c:crosses val="autoZero"/>
        <c:auto val="1"/>
        <c:lblAlgn val="ctr"/>
        <c:lblOffset val="100"/>
        <c:noMultiLvlLbl val="0"/>
      </c:catAx>
      <c:valAx>
        <c:axId val="2065435583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tx1">
                  <a:lumMod val="15000"/>
                  <a:lumOff val="85000"/>
                  <a:alpha val="7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437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2059711286089239"/>
          <c:y val="0.20135309626529579"/>
          <c:w val="0.45390381349390152"/>
          <c:h val="0.107143607049118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Return on Equity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42825896762903"/>
          <c:y val="0.26622788999201186"/>
          <c:w val="0.86601618547681536"/>
          <c:h val="0.601900604815702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Source'!$A$10</c:f>
              <c:strCache>
                <c:ptCount val="1"/>
                <c:pt idx="0">
                  <c:v>KO ROE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'Chart Source'!$B$3:$D$3</c:f>
              <c:strCache>
                <c:ptCount val="3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</c:strCache>
            </c:strRef>
          </c:cat>
          <c:val>
            <c:numRef>
              <c:f>'Chart Source'!$B$10:$D$10</c:f>
              <c:numCache>
                <c:formatCode>0.0%</c:formatCode>
                <c:ptCount val="3"/>
                <c:pt idx="0">
                  <c:v>0.36947262448695112</c:v>
                </c:pt>
                <c:pt idx="1">
                  <c:v>0.38988355167394467</c:v>
                </c:pt>
                <c:pt idx="2">
                  <c:v>0.40311694221143635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03-40D3-B288-057A078EA685}"/>
            </c:ext>
          </c:extLst>
        </c:ser>
        <c:ser>
          <c:idx val="1"/>
          <c:order val="1"/>
          <c:tx>
            <c:strRef>
              <c:f>'Chart Source'!$A$11</c:f>
              <c:strCache>
                <c:ptCount val="1"/>
                <c:pt idx="0">
                  <c:v>PEP ROE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Source'!$B$3:$D$3</c:f>
              <c:strCache>
                <c:ptCount val="3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</c:strCache>
            </c:strRef>
          </c:cat>
          <c:val>
            <c:numRef>
              <c:f>'Chart Source'!$B$11:$D$11</c:f>
              <c:numCache>
                <c:formatCode>0.0%</c:formatCode>
                <c:ptCount val="3"/>
                <c:pt idx="0">
                  <c:v>0.51583396051641295</c:v>
                </c:pt>
                <c:pt idx="1">
                  <c:v>0.48688093577292485</c:v>
                </c:pt>
                <c:pt idx="2">
                  <c:v>0.52710362665786148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03-40D3-B288-057A078EA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6417999"/>
        <c:axId val="2106413199"/>
      </c:barChart>
      <c:catAx>
        <c:axId val="210641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413199"/>
        <c:crosses val="autoZero"/>
        <c:auto val="1"/>
        <c:lblAlgn val="ctr"/>
        <c:lblOffset val="100"/>
        <c:noMultiLvlLbl val="0"/>
      </c:catAx>
      <c:valAx>
        <c:axId val="2106413199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tx1">
                  <a:lumMod val="15000"/>
                  <a:lumOff val="85000"/>
                  <a:alpha val="7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417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6891097987751535"/>
          <c:y val="0.17650408282298047"/>
          <c:w val="0.29551115485564305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21</xdr:col>
      <xdr:colOff>91440</xdr:colOff>
      <xdr:row>29</xdr:row>
      <xdr:rowOff>120014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393F56C-26DD-1F15-D003-4B72E58862B1}"/>
            </a:ext>
          </a:extLst>
        </xdr:cNvPr>
        <xdr:cNvSpPr/>
      </xdr:nvSpPr>
      <xdr:spPr>
        <a:xfrm>
          <a:off x="0" y="0"/>
          <a:ext cx="12893040" cy="5644514"/>
        </a:xfrm>
        <a:prstGeom prst="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79058</xdr:colOff>
      <xdr:row>3</xdr:row>
      <xdr:rowOff>76201</xdr:rowOff>
    </xdr:from>
    <xdr:to>
      <xdr:col>20</xdr:col>
      <xdr:colOff>12383</xdr:colOff>
      <xdr:row>7</xdr:row>
      <xdr:rowOff>38101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BD877D56-819F-FD2B-2840-AB203F0E77D6}"/>
            </a:ext>
          </a:extLst>
        </xdr:cNvPr>
        <xdr:cNvGrpSpPr/>
      </xdr:nvGrpSpPr>
      <xdr:grpSpPr>
        <a:xfrm>
          <a:off x="688658" y="647701"/>
          <a:ext cx="11515725" cy="723900"/>
          <a:chOff x="714375" y="647700"/>
          <a:chExt cx="11515725" cy="866775"/>
        </a:xfrm>
      </xdr:grpSpPr>
      <xdr:sp macro="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6912A4BB-C2B2-1D4C-A222-CAA0D9FA8B10}"/>
              </a:ext>
            </a:extLst>
          </xdr:cNvPr>
          <xdr:cNvSpPr/>
        </xdr:nvSpPr>
        <xdr:spPr>
          <a:xfrm>
            <a:off x="714375" y="647700"/>
            <a:ext cx="2695575" cy="866775"/>
          </a:xfrm>
          <a:prstGeom prst="roundRect">
            <a:avLst/>
          </a:prstGeom>
          <a:solidFill>
            <a:schemeClr val="tx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					</a:t>
            </a:r>
          </a:p>
          <a:p>
            <a:pPr algn="l"/>
            <a:endParaRPr lang="en-US" sz="1100"/>
          </a:p>
          <a:p>
            <a:pPr algn="l"/>
            <a:endParaRPr lang="en-US" sz="1100"/>
          </a:p>
          <a:p>
            <a:pPr algn="l"/>
            <a:endParaRPr lang="en-US" sz="1100"/>
          </a:p>
          <a:p>
            <a:pPr algn="l"/>
            <a:endParaRPr lang="en-US" sz="1100"/>
          </a:p>
          <a:p>
            <a:pPr algn="l"/>
            <a:endParaRPr lang="en-US" sz="1100"/>
          </a:p>
          <a:p>
            <a:pPr algn="l"/>
            <a:endParaRPr lang="en-US" sz="1100"/>
          </a:p>
          <a:p>
            <a:pPr algn="l"/>
            <a:endParaRPr lang="en-US" sz="1100"/>
          </a:p>
          <a:p>
            <a:pPr algn="l"/>
            <a:endParaRPr lang="en-US" sz="1100"/>
          </a:p>
          <a:p>
            <a:pPr algn="l"/>
            <a:endParaRPr lang="en-US" sz="1100"/>
          </a:p>
          <a:p>
            <a:pPr algn="l"/>
            <a:endParaRPr lang="en-US" sz="1100"/>
          </a:p>
          <a:p>
            <a:pPr algn="l"/>
            <a:endParaRPr lang="en-US" sz="1100"/>
          </a:p>
          <a:p>
            <a:pPr algn="l"/>
            <a:endParaRPr lang="en-US" sz="1100"/>
          </a:p>
          <a:p>
            <a:pPr algn="l"/>
            <a:endParaRPr lang="en-US" sz="1100"/>
          </a:p>
          <a:p>
            <a:pPr algn="l"/>
            <a:endParaRPr lang="en-US" sz="1100"/>
          </a:p>
          <a:p>
            <a:pPr algn="l"/>
            <a:endParaRPr lang="en-US" sz="1100"/>
          </a:p>
          <a:p>
            <a:pPr algn="l"/>
            <a:endParaRPr lang="en-US" sz="1100"/>
          </a:p>
          <a:p>
            <a:pPr algn="l"/>
            <a:endParaRPr lang="en-US" sz="1100"/>
          </a:p>
          <a:p>
            <a:pPr algn="l"/>
            <a:endParaRPr lang="en-US" sz="1100"/>
          </a:p>
          <a:p>
            <a:pPr algn="l"/>
            <a:endParaRPr lang="en-US" sz="1100"/>
          </a:p>
          <a:p>
            <a:pPr algn="l"/>
            <a:endParaRPr lang="en-US" sz="1100"/>
          </a:p>
          <a:p>
            <a:pPr algn="l"/>
            <a:r>
              <a:rPr lang="en-US" sz="1100"/>
              <a:t>								</a:t>
            </a:r>
          </a:p>
        </xdr:txBody>
      </xdr:sp>
      <xdr:sp macro="" textlink="">
        <xdr:nvSpPr>
          <xdr:cNvPr id="10" name="Rectangle: Rounded Corners 9">
            <a:extLst>
              <a:ext uri="{FF2B5EF4-FFF2-40B4-BE49-F238E27FC236}">
                <a16:creationId xmlns:a16="http://schemas.microsoft.com/office/drawing/2014/main" id="{C3E06CEF-15D7-4243-6F69-7B7501BED986}"/>
              </a:ext>
            </a:extLst>
          </xdr:cNvPr>
          <xdr:cNvSpPr/>
        </xdr:nvSpPr>
        <xdr:spPr>
          <a:xfrm>
            <a:off x="3654425" y="647700"/>
            <a:ext cx="2695575" cy="866775"/>
          </a:xfrm>
          <a:prstGeom prst="roundRect">
            <a:avLst/>
          </a:prstGeom>
          <a:solidFill>
            <a:schemeClr val="tx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9195F75C-FAF8-F12D-515D-1A8BB80F727E}"/>
              </a:ext>
            </a:extLst>
          </xdr:cNvPr>
          <xdr:cNvSpPr/>
        </xdr:nvSpPr>
        <xdr:spPr>
          <a:xfrm>
            <a:off x="6594475" y="647700"/>
            <a:ext cx="2695575" cy="866775"/>
          </a:xfrm>
          <a:prstGeom prst="roundRect">
            <a:avLst/>
          </a:prstGeom>
          <a:solidFill>
            <a:schemeClr val="tx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80453806-5C5F-7A34-C17A-3B4ED8B62CE0}"/>
              </a:ext>
            </a:extLst>
          </xdr:cNvPr>
          <xdr:cNvSpPr/>
        </xdr:nvSpPr>
        <xdr:spPr>
          <a:xfrm>
            <a:off x="9534525" y="647700"/>
            <a:ext cx="2695575" cy="866775"/>
          </a:xfrm>
          <a:prstGeom prst="roundRect">
            <a:avLst/>
          </a:prstGeom>
          <a:solidFill>
            <a:schemeClr val="tx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310CA4E5-45E2-A63F-51C1-F65E55D9ADF4}"/>
              </a:ext>
            </a:extLst>
          </xdr:cNvPr>
          <xdr:cNvSpPr txBox="1"/>
        </xdr:nvSpPr>
        <xdr:spPr>
          <a:xfrm>
            <a:off x="1152525" y="723901"/>
            <a:ext cx="1819275" cy="3333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 b="1">
                <a:solidFill>
                  <a:schemeClr val="bg1"/>
                </a:solidFill>
              </a:rPr>
              <a:t>KO</a:t>
            </a:r>
            <a:r>
              <a:rPr lang="en-US" sz="1400" b="1" baseline="0">
                <a:solidFill>
                  <a:schemeClr val="bg1"/>
                </a:solidFill>
              </a:rPr>
              <a:t> Net Margin (FY24)</a:t>
            </a:r>
            <a:endParaRPr lang="en-US" sz="1400" b="1">
              <a:solidFill>
                <a:schemeClr val="bg1"/>
              </a:solidFill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304B982F-7B1A-B06B-FA9B-CCBB71191F48}"/>
              </a:ext>
            </a:extLst>
          </xdr:cNvPr>
          <xdr:cNvSpPr txBox="1"/>
        </xdr:nvSpPr>
        <xdr:spPr>
          <a:xfrm>
            <a:off x="4078287" y="723901"/>
            <a:ext cx="1847851" cy="3333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 b="1" baseline="0">
                <a:solidFill>
                  <a:schemeClr val="bg1"/>
                </a:solidFill>
              </a:rPr>
              <a:t>PEP Net Margin (FY24)</a:t>
            </a:r>
            <a:endParaRPr lang="en-US" sz="1400" b="1">
              <a:solidFill>
                <a:schemeClr val="bg1"/>
              </a:solidFill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8B7442B9-3127-A046-4A00-F552685A3B1A}"/>
              </a:ext>
            </a:extLst>
          </xdr:cNvPr>
          <xdr:cNvSpPr txBox="1"/>
        </xdr:nvSpPr>
        <xdr:spPr>
          <a:xfrm>
            <a:off x="6818312" y="723901"/>
            <a:ext cx="2247901" cy="3333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 b="1">
                <a:solidFill>
                  <a:schemeClr val="bg1"/>
                </a:solidFill>
              </a:rPr>
              <a:t>KO</a:t>
            </a:r>
            <a:r>
              <a:rPr lang="en-US" sz="1400" b="1" baseline="0">
                <a:solidFill>
                  <a:schemeClr val="bg1"/>
                </a:solidFill>
              </a:rPr>
              <a:t> Return on Equity (FY24)</a:t>
            </a:r>
            <a:endParaRPr lang="en-US" sz="1400" b="1">
              <a:solidFill>
                <a:schemeClr val="bg1"/>
              </a:solidFill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4D55303C-D3D8-336E-9924-8016D5C24EA4}"/>
              </a:ext>
            </a:extLst>
          </xdr:cNvPr>
          <xdr:cNvSpPr txBox="1"/>
        </xdr:nvSpPr>
        <xdr:spPr>
          <a:xfrm>
            <a:off x="9744074" y="723901"/>
            <a:ext cx="2276476" cy="3333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 b="1">
                <a:solidFill>
                  <a:schemeClr val="bg1"/>
                </a:solidFill>
              </a:rPr>
              <a:t>PEP</a:t>
            </a:r>
            <a:r>
              <a:rPr lang="en-US" sz="1400" b="1" baseline="0">
                <a:solidFill>
                  <a:schemeClr val="bg1"/>
                </a:solidFill>
              </a:rPr>
              <a:t> Return on Equity (FY24)</a:t>
            </a:r>
            <a:endParaRPr lang="en-US" sz="1400" b="1">
              <a:solidFill>
                <a:schemeClr val="bg1"/>
              </a:solidFill>
            </a:endParaRPr>
          </a:p>
        </xdr:txBody>
      </xdr:sp>
      <xdr:sp macro="" textlink="'Chart Source'!D6">
        <xdr:nvSpPr>
          <xdr:cNvPr id="17" name="TextBox 16">
            <a:extLst>
              <a:ext uri="{FF2B5EF4-FFF2-40B4-BE49-F238E27FC236}">
                <a16:creationId xmlns:a16="http://schemas.microsoft.com/office/drawing/2014/main" id="{B0A15461-2AE3-B975-6A4E-A00D3AB66A94}"/>
              </a:ext>
            </a:extLst>
          </xdr:cNvPr>
          <xdr:cNvSpPr txBox="1"/>
        </xdr:nvSpPr>
        <xdr:spPr>
          <a:xfrm>
            <a:off x="1600200" y="1047751"/>
            <a:ext cx="923925" cy="4000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EDB427CD-B372-4429-BABF-49FC81BAB01B}" type="TxLink">
              <a:rPr lang="en-US" sz="2000" b="1">
                <a:solidFill>
                  <a:schemeClr val="bg1"/>
                </a:solidFill>
                <a:latin typeface="+mn-lt"/>
                <a:ea typeface="+mn-ea"/>
                <a:cs typeface="+mn-cs"/>
              </a:rPr>
              <a:pPr marL="0" indent="0"/>
              <a:t>22.6%</a:t>
            </a:fld>
            <a:endParaRPr lang="en-US" sz="2000" b="1">
              <a:solidFill>
                <a:schemeClr val="bg1"/>
              </a:solidFill>
              <a:latin typeface="+mn-lt"/>
              <a:ea typeface="+mn-ea"/>
              <a:cs typeface="+mn-cs"/>
            </a:endParaRPr>
          </a:p>
        </xdr:txBody>
      </xdr:sp>
      <xdr:sp macro="" textlink="'Chart Source'!D7">
        <xdr:nvSpPr>
          <xdr:cNvPr id="18" name="TextBox 17">
            <a:extLst>
              <a:ext uri="{FF2B5EF4-FFF2-40B4-BE49-F238E27FC236}">
                <a16:creationId xmlns:a16="http://schemas.microsoft.com/office/drawing/2014/main" id="{5A052A60-16D6-AAEB-46CB-77611ED9FF90}"/>
              </a:ext>
            </a:extLst>
          </xdr:cNvPr>
          <xdr:cNvSpPr txBox="1"/>
        </xdr:nvSpPr>
        <xdr:spPr>
          <a:xfrm>
            <a:off x="4540250" y="1047751"/>
            <a:ext cx="923925" cy="4000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E0BBDD25-5E12-41CB-90AC-C48DBDDE0D74}" type="TxLink">
              <a:rPr lang="en-US" sz="2000" b="1">
                <a:solidFill>
                  <a:schemeClr val="bg1"/>
                </a:solidFill>
                <a:latin typeface="+mn-lt"/>
                <a:ea typeface="+mn-ea"/>
                <a:cs typeface="+mn-cs"/>
              </a:rPr>
              <a:pPr marL="0" indent="0"/>
              <a:t>10.4%</a:t>
            </a:fld>
            <a:endParaRPr lang="en-US" sz="2000" b="1">
              <a:solidFill>
                <a:schemeClr val="bg1"/>
              </a:solidFill>
              <a:latin typeface="+mn-lt"/>
              <a:ea typeface="+mn-ea"/>
              <a:cs typeface="+mn-cs"/>
            </a:endParaRPr>
          </a:p>
        </xdr:txBody>
      </xdr:sp>
      <xdr:sp macro="" textlink="'Chart Source'!D10">
        <xdr:nvSpPr>
          <xdr:cNvPr id="19" name="TextBox 18">
            <a:extLst>
              <a:ext uri="{FF2B5EF4-FFF2-40B4-BE49-F238E27FC236}">
                <a16:creationId xmlns:a16="http://schemas.microsoft.com/office/drawing/2014/main" id="{E2912EFE-DB97-477A-2AB7-C446FE8D86B7}"/>
              </a:ext>
            </a:extLst>
          </xdr:cNvPr>
          <xdr:cNvSpPr txBox="1"/>
        </xdr:nvSpPr>
        <xdr:spPr>
          <a:xfrm>
            <a:off x="7480300" y="1047751"/>
            <a:ext cx="923925" cy="4000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C52D9BFA-69BF-44C9-ABE0-35B2121E0048}" type="TxLink">
              <a:rPr lang="en-US" sz="2000" b="1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 marL="0" indent="0"/>
              <a:t>40.3%</a:t>
            </a:fld>
            <a:endParaRPr lang="en-US" sz="2000" b="1">
              <a:solidFill>
                <a:schemeClr val="bg1"/>
              </a:solidFill>
              <a:latin typeface="+mn-lt"/>
              <a:ea typeface="+mn-ea"/>
              <a:cs typeface="+mn-cs"/>
            </a:endParaRPr>
          </a:p>
        </xdr:txBody>
      </xdr:sp>
      <xdr:sp macro="" textlink="'Chart Source'!D11">
        <xdr:nvSpPr>
          <xdr:cNvPr id="20" name="TextBox 19">
            <a:extLst>
              <a:ext uri="{FF2B5EF4-FFF2-40B4-BE49-F238E27FC236}">
                <a16:creationId xmlns:a16="http://schemas.microsoft.com/office/drawing/2014/main" id="{6C7F58D7-299A-A7B7-4CD6-571194ADF6ED}"/>
              </a:ext>
            </a:extLst>
          </xdr:cNvPr>
          <xdr:cNvSpPr txBox="1"/>
        </xdr:nvSpPr>
        <xdr:spPr>
          <a:xfrm>
            <a:off x="10420350" y="1047751"/>
            <a:ext cx="923925" cy="4000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881A4C3B-785E-4402-8762-4CCD39F3C47B}" type="TxLink">
              <a:rPr lang="en-US" sz="2000" b="1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 marL="0" indent="0"/>
              <a:t>52.7%</a:t>
            </a:fld>
            <a:endParaRPr lang="en-US" sz="20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endParaRPr>
          </a:p>
        </xdr:txBody>
      </xdr:sp>
    </xdr:grpSp>
    <xdr:clientData/>
  </xdr:twoCellAnchor>
  <xdr:twoCellAnchor>
    <xdr:from>
      <xdr:col>1</xdr:col>
      <xdr:colOff>79058</xdr:colOff>
      <xdr:row>7</xdr:row>
      <xdr:rowOff>85725</xdr:rowOff>
    </xdr:from>
    <xdr:to>
      <xdr:col>20</xdr:col>
      <xdr:colOff>12383</xdr:colOff>
      <xdr:row>29</xdr:row>
      <xdr:rowOff>47625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7E2A4126-4A72-418D-F228-0ABFDE241F0C}"/>
            </a:ext>
          </a:extLst>
        </xdr:cNvPr>
        <xdr:cNvGrpSpPr/>
      </xdr:nvGrpSpPr>
      <xdr:grpSpPr>
        <a:xfrm>
          <a:off x="688658" y="1419225"/>
          <a:ext cx="11515725" cy="4152900"/>
          <a:chOff x="688658" y="1419225"/>
          <a:chExt cx="11515725" cy="4152900"/>
        </a:xfrm>
      </xdr:grpSpPr>
      <xdr:sp macro="" textlink="">
        <xdr:nvSpPr>
          <xdr:cNvPr id="32" name="Rectangle: Rounded Corners 31">
            <a:extLst>
              <a:ext uri="{FF2B5EF4-FFF2-40B4-BE49-F238E27FC236}">
                <a16:creationId xmlns:a16="http://schemas.microsoft.com/office/drawing/2014/main" id="{B9C3C879-8349-5C99-0BB5-9A240769E8C0}"/>
              </a:ext>
            </a:extLst>
          </xdr:cNvPr>
          <xdr:cNvSpPr/>
        </xdr:nvSpPr>
        <xdr:spPr>
          <a:xfrm>
            <a:off x="688658" y="1419226"/>
            <a:ext cx="5676900" cy="2047874"/>
          </a:xfrm>
          <a:prstGeom prst="roundRect">
            <a:avLst/>
          </a:prstGeom>
          <a:solidFill>
            <a:schemeClr val="tx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3" name="Rectangle: Rounded Corners 32">
            <a:extLst>
              <a:ext uri="{FF2B5EF4-FFF2-40B4-BE49-F238E27FC236}">
                <a16:creationId xmlns:a16="http://schemas.microsoft.com/office/drawing/2014/main" id="{1ABF945B-24EE-3228-B156-B2E64FD1D6B2}"/>
              </a:ext>
            </a:extLst>
          </xdr:cNvPr>
          <xdr:cNvSpPr/>
        </xdr:nvSpPr>
        <xdr:spPr>
          <a:xfrm>
            <a:off x="6525959" y="1419225"/>
            <a:ext cx="5678424" cy="2048256"/>
          </a:xfrm>
          <a:prstGeom prst="roundRect">
            <a:avLst/>
          </a:prstGeom>
          <a:solidFill>
            <a:schemeClr val="tx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34" name="Chart 33">
            <a:extLst>
              <a:ext uri="{FF2B5EF4-FFF2-40B4-BE49-F238E27FC236}">
                <a16:creationId xmlns:a16="http://schemas.microsoft.com/office/drawing/2014/main" id="{70FEA2BA-2CF8-405E-A65D-1CF17B7CA8DA}"/>
              </a:ext>
            </a:extLst>
          </xdr:cNvPr>
          <xdr:cNvGraphicFramePr>
            <a:graphicFrameLocks/>
          </xdr:cNvGraphicFramePr>
        </xdr:nvGraphicFramePr>
        <xdr:xfrm>
          <a:off x="902971" y="1481138"/>
          <a:ext cx="5248275" cy="19240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21" name="Chart 20">
            <a:extLst>
              <a:ext uri="{FF2B5EF4-FFF2-40B4-BE49-F238E27FC236}">
                <a16:creationId xmlns:a16="http://schemas.microsoft.com/office/drawing/2014/main" id="{A90AF269-5D5B-464E-A59B-B4AB07DBE314}"/>
              </a:ext>
            </a:extLst>
          </xdr:cNvPr>
          <xdr:cNvGraphicFramePr>
            <a:graphicFrameLocks/>
          </xdr:cNvGraphicFramePr>
        </xdr:nvGraphicFramePr>
        <xdr:xfrm>
          <a:off x="6755321" y="1481328"/>
          <a:ext cx="5219700" cy="19240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40" name="Rectangle: Rounded Corners 39">
            <a:extLst>
              <a:ext uri="{FF2B5EF4-FFF2-40B4-BE49-F238E27FC236}">
                <a16:creationId xmlns:a16="http://schemas.microsoft.com/office/drawing/2014/main" id="{34779410-29D4-CAB3-2B9B-B4B68F7A947B}"/>
              </a:ext>
            </a:extLst>
          </xdr:cNvPr>
          <xdr:cNvSpPr/>
        </xdr:nvSpPr>
        <xdr:spPr>
          <a:xfrm>
            <a:off x="688658" y="3524251"/>
            <a:ext cx="5676900" cy="2047874"/>
          </a:xfrm>
          <a:prstGeom prst="roundRect">
            <a:avLst/>
          </a:prstGeom>
          <a:solidFill>
            <a:schemeClr val="tx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1" name="Rectangle: Rounded Corners 40">
            <a:extLst>
              <a:ext uri="{FF2B5EF4-FFF2-40B4-BE49-F238E27FC236}">
                <a16:creationId xmlns:a16="http://schemas.microsoft.com/office/drawing/2014/main" id="{95212CCA-BC95-525C-0E64-6B1A51D973E9}"/>
              </a:ext>
            </a:extLst>
          </xdr:cNvPr>
          <xdr:cNvSpPr/>
        </xdr:nvSpPr>
        <xdr:spPr>
          <a:xfrm>
            <a:off x="6525959" y="3523869"/>
            <a:ext cx="5678424" cy="2048256"/>
          </a:xfrm>
          <a:prstGeom prst="roundRect">
            <a:avLst/>
          </a:prstGeom>
          <a:solidFill>
            <a:schemeClr val="tx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42" name="Chart 41">
            <a:extLst>
              <a:ext uri="{FF2B5EF4-FFF2-40B4-BE49-F238E27FC236}">
                <a16:creationId xmlns:a16="http://schemas.microsoft.com/office/drawing/2014/main" id="{39A3AF5F-38C6-4A50-87BC-3E0DF1FE0B03}"/>
              </a:ext>
            </a:extLst>
          </xdr:cNvPr>
          <xdr:cNvGraphicFramePr>
            <a:graphicFrameLocks/>
          </xdr:cNvGraphicFramePr>
        </xdr:nvGraphicFramePr>
        <xdr:xfrm>
          <a:off x="936308" y="3576639"/>
          <a:ext cx="5181600" cy="194309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43" name="Chart 42">
            <a:extLst>
              <a:ext uri="{FF2B5EF4-FFF2-40B4-BE49-F238E27FC236}">
                <a16:creationId xmlns:a16="http://schemas.microsoft.com/office/drawing/2014/main" id="{737D6E0C-69C3-4BF7-BF9A-C75E15D864DE}"/>
              </a:ext>
            </a:extLst>
          </xdr:cNvPr>
          <xdr:cNvGraphicFramePr>
            <a:graphicFrameLocks/>
          </xdr:cNvGraphicFramePr>
        </xdr:nvGraphicFramePr>
        <xdr:xfrm>
          <a:off x="6750559" y="3647885"/>
          <a:ext cx="5229225" cy="18002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1</xdr:col>
      <xdr:colOff>79058</xdr:colOff>
      <xdr:row>0</xdr:row>
      <xdr:rowOff>0</xdr:rowOff>
    </xdr:from>
    <xdr:to>
      <xdr:col>15</xdr:col>
      <xdr:colOff>402907</xdr:colOff>
      <xdr:row>3</xdr:row>
      <xdr:rowOff>9525</xdr:rowOff>
    </xdr:to>
    <xdr:grpSp>
      <xdr:nvGrpSpPr>
        <xdr:cNvPr id="48" name="Group 47">
          <a:extLst>
            <a:ext uri="{FF2B5EF4-FFF2-40B4-BE49-F238E27FC236}">
              <a16:creationId xmlns:a16="http://schemas.microsoft.com/office/drawing/2014/main" id="{EC0B14B4-A1DB-0F8B-C291-95746335741D}"/>
            </a:ext>
          </a:extLst>
        </xdr:cNvPr>
        <xdr:cNvGrpSpPr/>
      </xdr:nvGrpSpPr>
      <xdr:grpSpPr>
        <a:xfrm>
          <a:off x="688658" y="0"/>
          <a:ext cx="8858249" cy="581025"/>
          <a:chOff x="688658" y="0"/>
          <a:chExt cx="8858249" cy="581025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906BFD73-4937-AF1C-F936-597B769E3320}"/>
              </a:ext>
            </a:extLst>
          </xdr:cNvPr>
          <xdr:cNvSpPr txBox="1"/>
        </xdr:nvSpPr>
        <xdr:spPr>
          <a:xfrm>
            <a:off x="688658" y="0"/>
            <a:ext cx="8858249" cy="4095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400" b="1">
                <a:solidFill>
                  <a:schemeClr val="bg1"/>
                </a:solidFill>
              </a:rPr>
              <a:t>Coca-Cola vs PepsiCo</a:t>
            </a:r>
            <a:r>
              <a:rPr lang="en-US" sz="2400" b="1" baseline="0">
                <a:solidFill>
                  <a:schemeClr val="bg1"/>
                </a:solidFill>
              </a:rPr>
              <a:t> - Financial Health Comparison Dashboard</a:t>
            </a:r>
            <a:endParaRPr lang="en-US" sz="2400" b="1">
              <a:solidFill>
                <a:schemeClr val="bg1"/>
              </a:solidFill>
            </a:endParaRPr>
          </a:p>
        </xdr:txBody>
      </xdr: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B8E04642-C576-0E87-FF50-10EF02B25912}"/>
              </a:ext>
            </a:extLst>
          </xdr:cNvPr>
          <xdr:cNvSpPr txBox="1"/>
        </xdr:nvSpPr>
        <xdr:spPr>
          <a:xfrm>
            <a:off x="688658" y="361950"/>
            <a:ext cx="3428999" cy="2190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1">
                <a:solidFill>
                  <a:schemeClr val="bg1"/>
                </a:solidFill>
              </a:rPr>
              <a:t>FY2022 - FY2024 | Ratio Analysis from SEC 10-K Data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4F3E8-5EC7-41C1-93C1-37E740AFC99C}">
  <dimension ref="A1"/>
  <sheetViews>
    <sheetView showGridLines="0" showRowColHeaders="0" zoomScaleNormal="100" workbookViewId="0">
      <selection activeCell="B32" sqref="B32"/>
    </sheetView>
  </sheetViews>
  <sheetFormatPr defaultRowHeight="15" x14ac:dyDescent="0.25"/>
  <sheetData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420A2-D0BC-475F-99AC-86E5C7528EE3}">
  <dimension ref="A1:D24"/>
  <sheetViews>
    <sheetView zoomScaleNormal="100" workbookViewId="0"/>
  </sheetViews>
  <sheetFormatPr defaultRowHeight="15" x14ac:dyDescent="0.25"/>
  <cols>
    <col min="1" max="1" width="22" bestFit="1" customWidth="1"/>
    <col min="2" max="4" width="11.28515625" bestFit="1" customWidth="1"/>
  </cols>
  <sheetData>
    <row r="1" spans="1:4" ht="18" x14ac:dyDescent="0.25">
      <c r="A1" s="7" t="s">
        <v>25</v>
      </c>
    </row>
    <row r="2" spans="1:4" x14ac:dyDescent="0.25">
      <c r="A2" s="2"/>
    </row>
    <row r="3" spans="1:4" x14ac:dyDescent="0.25">
      <c r="A3" s="6" t="s">
        <v>14</v>
      </c>
      <c r="B3" s="6" t="s">
        <v>3</v>
      </c>
      <c r="C3" s="6" t="s">
        <v>4</v>
      </c>
      <c r="D3" s="6" t="s">
        <v>5</v>
      </c>
    </row>
    <row r="4" spans="1:4" x14ac:dyDescent="0.25">
      <c r="A4" t="s">
        <v>15</v>
      </c>
      <c r="B4" s="8">
        <f>'KO Data'!B8 / 'KO Data'!B10</f>
        <v>1.1453559115798013</v>
      </c>
      <c r="C4" s="8">
        <f>'KO Data'!C8 / 'KO Data'!C10</f>
        <v>1.1341054685842773</v>
      </c>
      <c r="D4" s="8">
        <f>'KO Data'!D8 / 'KO Data'!D10</f>
        <v>1.0296249356410154</v>
      </c>
    </row>
    <row r="5" spans="1:4" x14ac:dyDescent="0.25">
      <c r="A5" t="s">
        <v>16</v>
      </c>
      <c r="B5" s="10">
        <f>'KO Data'!B8 - 'KO Data'!B10</f>
        <v>2867</v>
      </c>
      <c r="C5" s="10">
        <f>'KO Data'!C8 - 'KO Data'!C10</f>
        <v>3161</v>
      </c>
      <c r="D5" s="10">
        <f>'KO Data'!D8 - 'KO Data'!D10</f>
        <v>748</v>
      </c>
    </row>
    <row r="6" spans="1:4" x14ac:dyDescent="0.25">
      <c r="A6" t="s">
        <v>17</v>
      </c>
      <c r="B6" s="8">
        <f>'KO Data'!B9 / 'KO Data'!B11</f>
        <v>2.5918454270889799</v>
      </c>
      <c r="C6" s="8">
        <f>'KO Data'!C9 / 'KO Data'!C11</f>
        <v>2.5554221251819507</v>
      </c>
      <c r="D6" s="8">
        <f>'KO Data'!D9 / 'KO Data'!D11</f>
        <v>2.8127180342787805</v>
      </c>
    </row>
    <row r="7" spans="1:4" x14ac:dyDescent="0.25">
      <c r="A7" t="s">
        <v>18</v>
      </c>
      <c r="B7" s="9">
        <f>'KO Data'!B9 / 'KO Data'!B7</f>
        <v>0.72159158285092118</v>
      </c>
      <c r="C7" s="9">
        <f>'KO Data'!C9 / 'KO Data'!C7</f>
        <v>0.71873944505286425</v>
      </c>
      <c r="D7" s="9">
        <f>'KO Data'!D9 / 'KO Data'!D7</f>
        <v>0.73771991765209</v>
      </c>
    </row>
    <row r="8" spans="1:4" x14ac:dyDescent="0.25">
      <c r="A8" t="s">
        <v>19</v>
      </c>
      <c r="B8" s="9">
        <f>'KO Data'!B6 / 'KO Data'!B5</f>
        <v>0.22188633615477629</v>
      </c>
      <c r="C8" s="9">
        <f>'KO Data'!C6 / 'KO Data'!C5</f>
        <v>0.23416531887922368</v>
      </c>
      <c r="D8" s="9">
        <f>'KO Data'!D6 / 'KO Data'!D5</f>
        <v>0.22589830220352308</v>
      </c>
    </row>
    <row r="9" spans="1:4" x14ac:dyDescent="0.25">
      <c r="A9" t="s">
        <v>20</v>
      </c>
      <c r="B9" s="8">
        <f>'KO Data'!B5 / 'KO Data'!B7</f>
        <v>0.46359000894753294</v>
      </c>
      <c r="C9" s="8">
        <f>'KO Data'!C5 / 'KO Data'!C7</f>
        <v>0.46829677696693039</v>
      </c>
      <c r="D9" s="8">
        <f>'KO Data'!D5 / 'KO Data'!D7</f>
        <v>0.46804045788620474</v>
      </c>
    </row>
    <row r="10" spans="1:4" x14ac:dyDescent="0.25">
      <c r="A10" t="s">
        <v>21</v>
      </c>
      <c r="B10" s="8">
        <f>'KO Data'!B7 / 'KO Data'!B11</f>
        <v>3.5918454270889799</v>
      </c>
      <c r="C10" s="8">
        <f>'KO Data'!C7 / 'KO Data'!C11</f>
        <v>3.5554221251819507</v>
      </c>
      <c r="D10" s="8">
        <f>'KO Data'!D7 / 'KO Data'!D11</f>
        <v>3.8127180342787805</v>
      </c>
    </row>
    <row r="11" spans="1:4" x14ac:dyDescent="0.25">
      <c r="A11" t="s">
        <v>22</v>
      </c>
      <c r="B11" s="9">
        <f>'KO Data'!B6 / 'KO Data'!B7</f>
        <v>0.10286428856332805</v>
      </c>
      <c r="C11" s="9">
        <f>'KO Data'!C6 / 'KO Data'!C7</f>
        <v>0.10965886410857395</v>
      </c>
      <c r="D11" s="9">
        <f>'KO Data'!D6 / 'KO Data'!D7</f>
        <v>0.10572954479905319</v>
      </c>
    </row>
    <row r="12" spans="1:4" x14ac:dyDescent="0.25">
      <c r="A12" t="s">
        <v>23</v>
      </c>
      <c r="B12" s="9">
        <f>'KO Data'!B6 / 'KO Data'!B11</f>
        <v>0.36947262448695112</v>
      </c>
      <c r="C12" s="9">
        <f>'KO Data'!C6 / 'KO Data'!C11</f>
        <v>0.38988355167394467</v>
      </c>
      <c r="D12" s="9">
        <f>'KO Data'!D6 / 'KO Data'!D11</f>
        <v>0.40311694221143635</v>
      </c>
    </row>
    <row r="14" spans="1:4" ht="18" x14ac:dyDescent="0.25">
      <c r="A14" s="7" t="s">
        <v>24</v>
      </c>
    </row>
    <row r="15" spans="1:4" x14ac:dyDescent="0.25">
      <c r="A15" s="6" t="s">
        <v>14</v>
      </c>
      <c r="B15" s="6" t="s">
        <v>3</v>
      </c>
      <c r="C15" s="6" t="s">
        <v>4</v>
      </c>
      <c r="D15" s="6" t="s">
        <v>5</v>
      </c>
    </row>
    <row r="16" spans="1:4" x14ac:dyDescent="0.25">
      <c r="A16" t="s">
        <v>15</v>
      </c>
      <c r="B16" s="8">
        <f>'PEP Data'!B8 / 'PEP Data'!B10</f>
        <v>0.80414411050961354</v>
      </c>
      <c r="C16" s="8">
        <f>'PEP Data'!C8 / 'PEP Data'!C10</f>
        <v>0.85158150851581504</v>
      </c>
      <c r="D16" s="8">
        <f>'PEP Data'!D8 / 'PEP Data'!D10</f>
        <v>0.81893708777270424</v>
      </c>
    </row>
    <row r="17" spans="1:4" x14ac:dyDescent="0.25">
      <c r="A17" t="s">
        <v>16</v>
      </c>
      <c r="B17" s="11">
        <f>'PEP Data'!B8 - 'PEP Data'!B10</f>
        <v>-5246</v>
      </c>
      <c r="C17" s="11">
        <f>'PEP Data'!C8 - 'PEP Data'!C10</f>
        <v>-4697</v>
      </c>
      <c r="D17" s="11">
        <f>'PEP Data'!D8 - 'PEP Data'!D10</f>
        <v>-5710</v>
      </c>
    </row>
    <row r="18" spans="1:4" x14ac:dyDescent="0.25">
      <c r="A18" t="s">
        <v>17</v>
      </c>
      <c r="B18" s="8">
        <f>'PEP Data'!B9 / 'PEP Data'!B11</f>
        <v>4.3370578359289063</v>
      </c>
      <c r="C18" s="8">
        <f>'PEP Data'!C9 / 'PEP Data'!C11</f>
        <v>4.3922305092021245</v>
      </c>
      <c r="D18" s="8">
        <f>'PEP Data'!D9 / 'PEP Data'!D11</f>
        <v>4.4739419954873147</v>
      </c>
    </row>
    <row r="19" spans="1:4" x14ac:dyDescent="0.25">
      <c r="A19" t="s">
        <v>18</v>
      </c>
      <c r="B19" s="9">
        <f>'PEP Data'!B9 / 'PEP Data'!B7</f>
        <v>0.81263084816731213</v>
      </c>
      <c r="C19" s="9">
        <f>'PEP Data'!C9 / 'PEP Data'!C7</f>
        <v>0.81454798746206281</v>
      </c>
      <c r="D19" s="9">
        <f>'PEP Data'!D9 / 'PEP Data'!D7</f>
        <v>0.81731629585691734</v>
      </c>
    </row>
    <row r="20" spans="1:4" x14ac:dyDescent="0.25">
      <c r="A20" t="s">
        <v>19</v>
      </c>
      <c r="B20" s="9">
        <f>'PEP Data'!B6 / 'PEP Data'!B5</f>
        <v>0.10313454949532364</v>
      </c>
      <c r="C20" s="9">
        <f>'PEP Data'!C6 / 'PEP Data'!C5</f>
        <v>9.920083961036831E-2</v>
      </c>
      <c r="D20" s="9">
        <f>'PEP Data'!D6 / 'PEP Data'!D5</f>
        <v>0.10427417423302197</v>
      </c>
    </row>
    <row r="21" spans="1:4" x14ac:dyDescent="0.25">
      <c r="A21" t="s">
        <v>20</v>
      </c>
      <c r="B21" s="8">
        <f>'PEP Data'!B5 / 'PEP Data'!B7</f>
        <v>0.93713864210788944</v>
      </c>
      <c r="C21" s="8">
        <f>'PEP Data'!C5 / 'PEP Data'!C7</f>
        <v>0.91020448778546192</v>
      </c>
      <c r="D21" s="8">
        <f>'PEP Data'!D5 / 'PEP Data'!D7</f>
        <v>0.92346205274111015</v>
      </c>
    </row>
    <row r="22" spans="1:4" x14ac:dyDescent="0.25">
      <c r="A22" t="s">
        <v>21</v>
      </c>
      <c r="B22" s="8">
        <f>'PEP Data'!B7 / 'PEP Data'!B11</f>
        <v>5.3370578359289063</v>
      </c>
      <c r="C22" s="8">
        <f>'PEP Data'!C7 / 'PEP Data'!C11</f>
        <v>5.3922305092021245</v>
      </c>
      <c r="D22" s="8">
        <f>'PEP Data'!D7 / 'PEP Data'!D11</f>
        <v>5.4739419954873147</v>
      </c>
    </row>
    <row r="23" spans="1:4" x14ac:dyDescent="0.25">
      <c r="A23" t="s">
        <v>22</v>
      </c>
      <c r="B23" s="9">
        <f>'PEP Data'!B6 / 'PEP Data'!B7</f>
        <v>9.6651371668456512E-2</v>
      </c>
      <c r="C23" s="9">
        <f>'PEP Data'!C6 / 'PEP Data'!C7</f>
        <v>9.0293049405443054E-2</v>
      </c>
      <c r="D23" s="9">
        <f>'PEP Data'!D6 / 'PEP Data'!D7</f>
        <v>9.6293242985110633E-2</v>
      </c>
    </row>
    <row r="24" spans="1:4" x14ac:dyDescent="0.25">
      <c r="A24" t="s">
        <v>23</v>
      </c>
      <c r="B24" s="9">
        <f>'PEP Data'!B6 / 'PEP Data'!B11</f>
        <v>0.51583396051641295</v>
      </c>
      <c r="C24" s="9">
        <f>'PEP Data'!C6 / 'PEP Data'!C11</f>
        <v>0.48688093577292485</v>
      </c>
      <c r="D24" s="9">
        <f>'PEP Data'!D6 / 'PEP Data'!D11</f>
        <v>0.52710362665786148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8C4B6-6F02-45F2-9D5A-314721396C0A}">
  <dimension ref="A1:D11"/>
  <sheetViews>
    <sheetView workbookViewId="0">
      <selection activeCell="L19" sqref="L19"/>
    </sheetView>
  </sheetViews>
  <sheetFormatPr defaultRowHeight="15" x14ac:dyDescent="0.25"/>
  <cols>
    <col min="1" max="1" width="25.5703125" bestFit="1" customWidth="1"/>
    <col min="2" max="4" width="11.5703125" customWidth="1"/>
  </cols>
  <sheetData>
    <row r="1" spans="1:4" ht="18" x14ac:dyDescent="0.25">
      <c r="A1" s="1" t="s">
        <v>26</v>
      </c>
    </row>
    <row r="3" spans="1:4" x14ac:dyDescent="0.25">
      <c r="A3" s="16" t="s">
        <v>14</v>
      </c>
      <c r="B3" s="17" t="s">
        <v>3</v>
      </c>
      <c r="C3" s="17" t="s">
        <v>4</v>
      </c>
      <c r="D3" s="17" t="s">
        <v>5</v>
      </c>
    </row>
    <row r="4" spans="1:4" x14ac:dyDescent="0.25">
      <c r="A4" s="12" t="s">
        <v>27</v>
      </c>
      <c r="B4" s="13">
        <f>'KO Data'!B5</f>
        <v>43004</v>
      </c>
      <c r="C4" s="13">
        <f>'KO Data'!C5</f>
        <v>45754</v>
      </c>
      <c r="D4" s="13">
        <f>'KO Data'!D5</f>
        <v>47061</v>
      </c>
    </row>
    <row r="5" spans="1:4" x14ac:dyDescent="0.25">
      <c r="A5" s="12" t="s">
        <v>28</v>
      </c>
      <c r="B5" s="13">
        <f>'PEP Data'!B5</f>
        <v>86392</v>
      </c>
      <c r="C5" s="13">
        <f>'PEP Data'!C5</f>
        <v>91471</v>
      </c>
      <c r="D5" s="13">
        <f>'PEP Data'!D5</f>
        <v>91854</v>
      </c>
    </row>
    <row r="6" spans="1:4" x14ac:dyDescent="0.25">
      <c r="A6" s="12" t="s">
        <v>29</v>
      </c>
      <c r="B6" s="14">
        <f>'Ratio Analysis'!B8</f>
        <v>0.22188633615477629</v>
      </c>
      <c r="C6" s="14">
        <f>'Ratio Analysis'!C8</f>
        <v>0.23416531887922368</v>
      </c>
      <c r="D6" s="14">
        <f>'Ratio Analysis'!D8</f>
        <v>0.22589830220352308</v>
      </c>
    </row>
    <row r="7" spans="1:4" x14ac:dyDescent="0.25">
      <c r="A7" s="12" t="s">
        <v>30</v>
      </c>
      <c r="B7" s="14">
        <f>'Ratio Analysis'!B20</f>
        <v>0.10313454949532364</v>
      </c>
      <c r="C7" s="14">
        <f>'Ratio Analysis'!C20</f>
        <v>9.920083961036831E-2</v>
      </c>
      <c r="D7" s="14">
        <f>'Ratio Analysis'!D20</f>
        <v>0.10427417423302197</v>
      </c>
    </row>
    <row r="8" spans="1:4" x14ac:dyDescent="0.25">
      <c r="A8" s="12" t="s">
        <v>31</v>
      </c>
      <c r="B8" s="15">
        <f>'Ratio Analysis'!B4</f>
        <v>1.1453559115798013</v>
      </c>
      <c r="C8" s="15">
        <f>'Ratio Analysis'!C4</f>
        <v>1.1341054685842773</v>
      </c>
      <c r="D8" s="15">
        <f>'Ratio Analysis'!D4</f>
        <v>1.0296249356410154</v>
      </c>
    </row>
    <row r="9" spans="1:4" x14ac:dyDescent="0.25">
      <c r="A9" s="12" t="s">
        <v>32</v>
      </c>
      <c r="B9" s="15">
        <f>'Ratio Analysis'!B16</f>
        <v>0.80414411050961354</v>
      </c>
      <c r="C9" s="15">
        <f>'Ratio Analysis'!C16</f>
        <v>0.85158150851581504</v>
      </c>
      <c r="D9" s="15">
        <f>'Ratio Analysis'!D16</f>
        <v>0.81893708777270424</v>
      </c>
    </row>
    <row r="10" spans="1:4" x14ac:dyDescent="0.25">
      <c r="A10" s="12" t="s">
        <v>33</v>
      </c>
      <c r="B10" s="14">
        <f>'Ratio Analysis'!B12</f>
        <v>0.36947262448695112</v>
      </c>
      <c r="C10" s="14">
        <f>'Ratio Analysis'!C12</f>
        <v>0.38988355167394467</v>
      </c>
      <c r="D10" s="14">
        <f>'Ratio Analysis'!D12</f>
        <v>0.40311694221143635</v>
      </c>
    </row>
    <row r="11" spans="1:4" x14ac:dyDescent="0.25">
      <c r="A11" s="12" t="s">
        <v>34</v>
      </c>
      <c r="B11" s="14">
        <f>'Ratio Analysis'!B24</f>
        <v>0.51583396051641295</v>
      </c>
      <c r="C11" s="14">
        <f>'Ratio Analysis'!C24</f>
        <v>0.48688093577292485</v>
      </c>
      <c r="D11" s="14">
        <f>'Ratio Analysis'!D24</f>
        <v>0.52710362665786148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90C63-1DE7-4ECE-9D88-2FF258F41625}">
  <dimension ref="A1:A13"/>
  <sheetViews>
    <sheetView tabSelected="1" workbookViewId="0">
      <selection activeCell="A14" sqref="A14"/>
    </sheetView>
  </sheetViews>
  <sheetFormatPr defaultRowHeight="15" x14ac:dyDescent="0.25"/>
  <cols>
    <col min="1" max="1" width="100.7109375" customWidth="1"/>
  </cols>
  <sheetData>
    <row r="1" spans="1:1" ht="18" x14ac:dyDescent="0.25">
      <c r="A1" s="7" t="s">
        <v>42</v>
      </c>
    </row>
    <row r="3" spans="1:1" x14ac:dyDescent="0.25">
      <c r="A3" s="6" t="s">
        <v>35</v>
      </c>
    </row>
    <row r="4" spans="1:1" ht="45" x14ac:dyDescent="0.25">
      <c r="A4" s="18" t="s">
        <v>36</v>
      </c>
    </row>
    <row r="6" spans="1:1" x14ac:dyDescent="0.25">
      <c r="A6" s="6" t="s">
        <v>37</v>
      </c>
    </row>
    <row r="7" spans="1:1" ht="45" x14ac:dyDescent="0.25">
      <c r="A7" s="18" t="s">
        <v>40</v>
      </c>
    </row>
    <row r="9" spans="1:1" x14ac:dyDescent="0.25">
      <c r="A9" s="6" t="s">
        <v>38</v>
      </c>
    </row>
    <row r="10" spans="1:1" ht="45" x14ac:dyDescent="0.25">
      <c r="A10" s="18" t="s">
        <v>41</v>
      </c>
    </row>
    <row r="12" spans="1:1" x14ac:dyDescent="0.25">
      <c r="A12" s="6" t="s">
        <v>39</v>
      </c>
    </row>
    <row r="13" spans="1:1" ht="60" x14ac:dyDescent="0.25">
      <c r="A13" s="18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B5" sqref="B5"/>
    </sheetView>
  </sheetViews>
  <sheetFormatPr defaultRowHeight="15" x14ac:dyDescent="0.25"/>
  <cols>
    <col min="1" max="1" width="22" customWidth="1"/>
    <col min="2" max="4" width="14" customWidth="1"/>
  </cols>
  <sheetData>
    <row r="1" spans="1:4" ht="18" x14ac:dyDescent="0.25">
      <c r="A1" s="1" t="s">
        <v>0</v>
      </c>
    </row>
    <row r="2" spans="1:4" x14ac:dyDescent="0.25">
      <c r="A2" s="2" t="s">
        <v>1</v>
      </c>
    </row>
    <row r="4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5">
        <v>43004</v>
      </c>
      <c r="C5" s="5">
        <v>45754</v>
      </c>
      <c r="D5" s="5">
        <v>47061</v>
      </c>
    </row>
    <row r="6" spans="1:4" x14ac:dyDescent="0.25">
      <c r="A6" s="4" t="s">
        <v>7</v>
      </c>
      <c r="B6" s="5">
        <v>9542</v>
      </c>
      <c r="C6" s="5">
        <v>10714</v>
      </c>
      <c r="D6" s="5">
        <v>10631</v>
      </c>
    </row>
    <row r="7" spans="1:4" x14ac:dyDescent="0.25">
      <c r="A7" s="4" t="s">
        <v>8</v>
      </c>
      <c r="B7" s="5">
        <v>92763</v>
      </c>
      <c r="C7" s="5">
        <v>97703</v>
      </c>
      <c r="D7" s="5">
        <v>100549</v>
      </c>
    </row>
    <row r="8" spans="1:4" x14ac:dyDescent="0.25">
      <c r="A8" s="4" t="s">
        <v>9</v>
      </c>
      <c r="B8" s="5">
        <v>22591</v>
      </c>
      <c r="C8" s="5">
        <v>26732</v>
      </c>
      <c r="D8" s="5">
        <v>25997</v>
      </c>
    </row>
    <row r="9" spans="1:4" x14ac:dyDescent="0.25">
      <c r="A9" s="4" t="s">
        <v>10</v>
      </c>
      <c r="B9" s="5">
        <v>66937</v>
      </c>
      <c r="C9" s="5">
        <v>70223</v>
      </c>
      <c r="D9" s="5">
        <v>74177</v>
      </c>
    </row>
    <row r="10" spans="1:4" x14ac:dyDescent="0.25">
      <c r="A10" s="4" t="s">
        <v>11</v>
      </c>
      <c r="B10" s="5">
        <v>19724</v>
      </c>
      <c r="C10" s="5">
        <v>23571</v>
      </c>
      <c r="D10" s="5">
        <v>25249</v>
      </c>
    </row>
    <row r="11" spans="1:4" x14ac:dyDescent="0.25">
      <c r="A11" s="4" t="s">
        <v>12</v>
      </c>
      <c r="B11" s="5">
        <v>25826</v>
      </c>
      <c r="C11" s="5">
        <v>27480</v>
      </c>
      <c r="D11" s="5">
        <v>26372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>
      <selection activeCell="D14" sqref="D14"/>
    </sheetView>
  </sheetViews>
  <sheetFormatPr defaultRowHeight="15" x14ac:dyDescent="0.25"/>
  <cols>
    <col min="1" max="1" width="22" customWidth="1"/>
    <col min="2" max="4" width="14" customWidth="1"/>
  </cols>
  <sheetData>
    <row r="1" spans="1:4" ht="18" x14ac:dyDescent="0.25">
      <c r="A1" s="1" t="s">
        <v>13</v>
      </c>
    </row>
    <row r="2" spans="1:4" x14ac:dyDescent="0.25">
      <c r="A2" s="2" t="s">
        <v>1</v>
      </c>
    </row>
    <row r="4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5">
        <v>86392</v>
      </c>
      <c r="C5" s="5">
        <v>91471</v>
      </c>
      <c r="D5" s="5">
        <v>91854</v>
      </c>
    </row>
    <row r="6" spans="1:4" x14ac:dyDescent="0.25">
      <c r="A6" s="4" t="s">
        <v>7</v>
      </c>
      <c r="B6" s="5">
        <v>8910</v>
      </c>
      <c r="C6" s="5">
        <v>9074</v>
      </c>
      <c r="D6" s="5">
        <v>9578</v>
      </c>
    </row>
    <row r="7" spans="1:4" x14ac:dyDescent="0.25">
      <c r="A7" s="4" t="s">
        <v>8</v>
      </c>
      <c r="B7" s="5">
        <v>92187</v>
      </c>
      <c r="C7" s="5">
        <v>100495</v>
      </c>
      <c r="D7" s="5">
        <v>99467</v>
      </c>
    </row>
    <row r="8" spans="1:4" x14ac:dyDescent="0.25">
      <c r="A8" s="4" t="s">
        <v>9</v>
      </c>
      <c r="B8" s="5">
        <v>21539</v>
      </c>
      <c r="C8" s="5">
        <v>26950</v>
      </c>
      <c r="D8" s="5">
        <v>25826</v>
      </c>
    </row>
    <row r="9" spans="1:4" x14ac:dyDescent="0.25">
      <c r="A9" s="4" t="s">
        <v>10</v>
      </c>
      <c r="B9" s="5">
        <v>74914</v>
      </c>
      <c r="C9" s="5">
        <v>81858</v>
      </c>
      <c r="D9" s="5">
        <v>81296</v>
      </c>
    </row>
    <row r="10" spans="1:4" x14ac:dyDescent="0.25">
      <c r="A10" s="4" t="s">
        <v>11</v>
      </c>
      <c r="B10" s="5">
        <v>26785</v>
      </c>
      <c r="C10" s="5">
        <v>31647</v>
      </c>
      <c r="D10" s="5">
        <v>31536</v>
      </c>
    </row>
    <row r="11" spans="1:4" x14ac:dyDescent="0.25">
      <c r="A11" s="4" t="s">
        <v>12</v>
      </c>
      <c r="B11" s="5">
        <v>17273</v>
      </c>
      <c r="C11" s="5">
        <v>18637</v>
      </c>
      <c r="D11" s="5">
        <v>18171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Ratio Analysis</vt:lpstr>
      <vt:lpstr>Chart Source</vt:lpstr>
      <vt:lpstr>Recommendation</vt:lpstr>
      <vt:lpstr>KO Data</vt:lpstr>
      <vt:lpstr>PEP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Muheez Adeleke</cp:lastModifiedBy>
  <dcterms:created xsi:type="dcterms:W3CDTF">2026-09-04T05:27:22Z</dcterms:created>
  <dcterms:modified xsi:type="dcterms:W3CDTF">2026-09-23T06:41:36Z</dcterms:modified>
</cp:coreProperties>
</file>